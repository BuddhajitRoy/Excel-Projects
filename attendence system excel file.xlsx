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8" windowWidth="16212" windowHeight="5808" activeTab="1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AL8" i="2"/>
  <c r="AL9"/>
  <c r="AL10"/>
  <c r="AL11"/>
  <c r="AL12"/>
  <c r="AL13"/>
  <c r="AL14"/>
  <c r="AL15"/>
  <c r="AK8"/>
  <c r="AK9"/>
  <c r="AK10"/>
  <c r="AK11"/>
  <c r="AK12"/>
  <c r="AK13"/>
  <c r="AK14"/>
  <c r="AK15"/>
  <c r="AJ8"/>
  <c r="AJ9"/>
  <c r="AJ10"/>
  <c r="AJ11"/>
  <c r="AJ12"/>
  <c r="AM12" s="1"/>
  <c r="AN12" s="1"/>
  <c r="AJ13"/>
  <c r="AJ14"/>
  <c r="AJ15"/>
  <c r="AL7"/>
  <c r="AK7"/>
  <c r="AJ7"/>
  <c r="AI8"/>
  <c r="AI9"/>
  <c r="AI10"/>
  <c r="AI11"/>
  <c r="AI12"/>
  <c r="AI13"/>
  <c r="AI14"/>
  <c r="AI15"/>
  <c r="AI7"/>
  <c r="AM8" l="1"/>
  <c r="AN8" s="1"/>
  <c r="AM11"/>
  <c r="AN11" s="1"/>
  <c r="AM9"/>
  <c r="AN9" s="1"/>
  <c r="AM7"/>
  <c r="AN7" s="1"/>
  <c r="AM15"/>
  <c r="AN15" s="1"/>
  <c r="AM14"/>
  <c r="AN14" s="1"/>
  <c r="AM13"/>
  <c r="AN13" s="1"/>
  <c r="AM10"/>
  <c r="AN10" s="1"/>
  <c r="X4" i="1" l="1"/>
  <c r="AC5"/>
  <c r="AC6"/>
  <c r="AC7"/>
  <c r="AC8"/>
  <c r="AC9"/>
  <c r="AC10"/>
  <c r="AC11"/>
  <c r="AC12"/>
  <c r="AB5"/>
  <c r="AB6"/>
  <c r="AB7"/>
  <c r="AB8"/>
  <c r="AB9"/>
  <c r="AB10"/>
  <c r="AB11"/>
  <c r="AB12"/>
  <c r="AA5"/>
  <c r="AA6"/>
  <c r="AA7"/>
  <c r="AA8"/>
  <c r="AA9"/>
  <c r="AA10"/>
  <c r="AA11"/>
  <c r="AA12"/>
  <c r="Z5"/>
  <c r="Z6"/>
  <c r="Z7"/>
  <c r="Z8"/>
  <c r="Z9"/>
  <c r="Z10"/>
  <c r="Z11"/>
  <c r="Z12"/>
  <c r="Y5"/>
  <c r="Y6"/>
  <c r="Y7"/>
  <c r="Y8"/>
  <c r="Y9"/>
  <c r="Y10"/>
  <c r="Y11"/>
  <c r="Y12"/>
  <c r="AB4"/>
  <c r="AA4"/>
  <c r="Z4"/>
  <c r="Y4"/>
  <c r="X5"/>
  <c r="X6"/>
  <c r="X7"/>
  <c r="X8"/>
  <c r="X9"/>
  <c r="X10"/>
  <c r="X11"/>
  <c r="X12"/>
  <c r="W5"/>
  <c r="W4"/>
  <c r="AC4" l="1"/>
</calcChain>
</file>

<file path=xl/sharedStrings.xml><?xml version="1.0" encoding="utf-8"?>
<sst xmlns="http://schemas.openxmlformats.org/spreadsheetml/2006/main" count="163" uniqueCount="50">
  <si>
    <t>EMP ID</t>
  </si>
  <si>
    <t>Name</t>
  </si>
  <si>
    <t>Designation</t>
  </si>
  <si>
    <t>Total Day</t>
  </si>
  <si>
    <t>Absent</t>
  </si>
  <si>
    <t>Leave</t>
  </si>
  <si>
    <t>Present</t>
  </si>
  <si>
    <t>ATTENDENCE SHEET</t>
  </si>
  <si>
    <t>A</t>
  </si>
  <si>
    <t>B</t>
  </si>
  <si>
    <t>C</t>
  </si>
  <si>
    <t>D</t>
  </si>
  <si>
    <t>E</t>
  </si>
  <si>
    <t>Manager</t>
  </si>
  <si>
    <t>LDC</t>
  </si>
  <si>
    <t>Staff</t>
  </si>
  <si>
    <t>Employee</t>
  </si>
  <si>
    <t>Paid Leave</t>
  </si>
  <si>
    <t>Unpaid Leave</t>
  </si>
  <si>
    <t>Causual Leave</t>
  </si>
  <si>
    <t>Causuak Leave</t>
  </si>
  <si>
    <t>Asst. Manager</t>
  </si>
  <si>
    <t>UDC</t>
  </si>
  <si>
    <t>Year</t>
  </si>
  <si>
    <t>Month</t>
  </si>
  <si>
    <t>Date</t>
  </si>
  <si>
    <t>Type of Day</t>
  </si>
  <si>
    <t>Emp id</t>
  </si>
  <si>
    <t>Employee Name</t>
  </si>
  <si>
    <t>W</t>
  </si>
  <si>
    <t>H</t>
  </si>
  <si>
    <t>Monday</t>
  </si>
  <si>
    <t>Tuesday</t>
  </si>
  <si>
    <t>Thursday</t>
  </si>
  <si>
    <t>January</t>
  </si>
  <si>
    <t>P</t>
  </si>
  <si>
    <t>HD</t>
  </si>
  <si>
    <t>L</t>
  </si>
  <si>
    <t>TOTAL WORKING DAY</t>
  </si>
  <si>
    <t>TOTAL PRESENT</t>
  </si>
  <si>
    <t>a</t>
  </si>
  <si>
    <t>s</t>
  </si>
  <si>
    <t>x</t>
  </si>
  <si>
    <t>c</t>
  </si>
  <si>
    <t>v</t>
  </si>
  <si>
    <t>b</t>
  </si>
  <si>
    <t>n</t>
  </si>
  <si>
    <t>m</t>
  </si>
  <si>
    <t>Monthly salary Structure</t>
  </si>
  <si>
    <t>Sunday</t>
  </si>
</sst>
</file>

<file path=xl/styles.xml><?xml version="1.0" encoding="utf-8"?>
<styleSheet xmlns="http://schemas.openxmlformats.org/spreadsheetml/2006/main">
  <numFmts count="1">
    <numFmt numFmtId="166" formatCode="[$-14009]d/m/yy;@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0"/>
      <name val="Arial Rounded MT Bold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2" borderId="0" xfId="0" applyFont="1" applyFill="1"/>
    <xf numFmtId="166" fontId="3" fillId="2" borderId="0" xfId="0" applyNumberFormat="1" applyFont="1" applyFill="1"/>
    <xf numFmtId="0" fontId="3" fillId="2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0" xfId="0" applyFont="1" applyBorder="1" applyAlignment="1"/>
    <xf numFmtId="0" fontId="0" fillId="0" borderId="0" xfId="0" applyBorder="1" applyAlignment="1">
      <alignment wrapText="1"/>
    </xf>
    <xf numFmtId="0" fontId="4" fillId="2" borderId="0" xfId="0" applyFont="1" applyFill="1"/>
    <xf numFmtId="0" fontId="3" fillId="0" borderId="1" xfId="0" applyFont="1" applyBorder="1" applyAlignment="1"/>
    <xf numFmtId="0" fontId="3" fillId="0" borderId="1" xfId="0" applyFont="1" applyBorder="1" applyAlignment="1">
      <alignment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 textRotation="90"/>
    </xf>
    <xf numFmtId="0" fontId="4" fillId="0" borderId="0" xfId="0" applyFont="1" applyAlignment="1">
      <alignment textRotation="90"/>
    </xf>
    <xf numFmtId="0" fontId="1" fillId="0" borderId="0" xfId="0" applyFont="1" applyAlignment="1">
      <alignment horizontal="center"/>
    </xf>
    <xf numFmtId="0" fontId="4" fillId="2" borderId="0" xfId="0" applyFont="1" applyFill="1" applyAlignment="1">
      <alignment textRotation="90"/>
    </xf>
    <xf numFmtId="0" fontId="0" fillId="2" borderId="0" xfId="0" applyFill="1"/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34"/>
  <sheetViews>
    <sheetView topLeftCell="C1" zoomScale="55" zoomScaleNormal="55" workbookViewId="0">
      <selection activeCell="AD3" sqref="AD3"/>
    </sheetView>
  </sheetViews>
  <sheetFormatPr defaultRowHeight="14.4"/>
  <cols>
    <col min="1" max="1" width="10.21875" bestFit="1" customWidth="1"/>
    <col min="2" max="2" width="8.6640625" bestFit="1" customWidth="1"/>
    <col min="3" max="3" width="16.6640625" bestFit="1" customWidth="1"/>
    <col min="4" max="4" width="15.77734375" bestFit="1" customWidth="1"/>
    <col min="5" max="5" width="15.77734375" customWidth="1"/>
    <col min="6" max="7" width="15.77734375" bestFit="1" customWidth="1"/>
    <col min="8" max="8" width="10.77734375" bestFit="1" customWidth="1"/>
    <col min="9" max="12" width="12" bestFit="1" customWidth="1"/>
    <col min="13" max="15" width="13.88671875" bestFit="1" customWidth="1"/>
    <col min="16" max="22" width="12" bestFit="1" customWidth="1"/>
    <col min="23" max="23" width="13.33203125" bestFit="1" customWidth="1"/>
    <col min="24" max="24" width="11.88671875" bestFit="1" customWidth="1"/>
    <col min="25" max="25" width="8.6640625" bestFit="1" customWidth="1"/>
    <col min="26" max="26" width="14.88671875" bestFit="1" customWidth="1"/>
    <col min="27" max="27" width="18.5546875" bestFit="1" customWidth="1"/>
    <col min="28" max="28" width="20" bestFit="1" customWidth="1"/>
    <col min="29" max="29" width="11.21875" bestFit="1" customWidth="1"/>
  </cols>
  <sheetData>
    <row r="1" spans="1:29" ht="14.4" customHeight="1">
      <c r="A1" s="1" t="s">
        <v>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5"/>
      <c r="AB1" s="5"/>
      <c r="AC1" s="5"/>
    </row>
    <row r="2" spans="1:29" ht="14.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5"/>
      <c r="AB2" s="5"/>
      <c r="AC2" s="5"/>
    </row>
    <row r="3" spans="1:29" ht="21">
      <c r="A3" s="2" t="s">
        <v>0</v>
      </c>
      <c r="B3" s="2" t="s">
        <v>1</v>
      </c>
      <c r="C3" s="2" t="s">
        <v>2</v>
      </c>
      <c r="D3" s="3">
        <v>45658</v>
      </c>
      <c r="E3" s="3">
        <v>45659</v>
      </c>
      <c r="F3" s="3">
        <v>45660</v>
      </c>
      <c r="G3" s="3">
        <v>45661</v>
      </c>
      <c r="H3" s="3">
        <v>45662</v>
      </c>
      <c r="I3" s="3">
        <v>45663</v>
      </c>
      <c r="J3" s="3">
        <v>45664</v>
      </c>
      <c r="K3" s="3">
        <v>45665</v>
      </c>
      <c r="L3" s="3">
        <v>45666</v>
      </c>
      <c r="M3" s="3">
        <v>45667</v>
      </c>
      <c r="N3" s="3">
        <v>45668</v>
      </c>
      <c r="O3" s="3">
        <v>45669</v>
      </c>
      <c r="P3" s="3">
        <v>45670</v>
      </c>
      <c r="Q3" s="3">
        <v>45671</v>
      </c>
      <c r="R3" s="3">
        <v>45672</v>
      </c>
      <c r="S3" s="3">
        <v>45673</v>
      </c>
      <c r="T3" s="3">
        <v>45674</v>
      </c>
      <c r="U3" s="3">
        <v>45675</v>
      </c>
      <c r="V3" s="3">
        <v>45676</v>
      </c>
      <c r="W3" s="4" t="s">
        <v>3</v>
      </c>
      <c r="X3" s="2" t="s">
        <v>4</v>
      </c>
      <c r="Y3" s="2" t="s">
        <v>5</v>
      </c>
      <c r="Z3" s="2" t="s">
        <v>17</v>
      </c>
      <c r="AA3" s="2" t="s">
        <v>18</v>
      </c>
      <c r="AB3" s="2" t="s">
        <v>20</v>
      </c>
      <c r="AC3" s="2" t="s">
        <v>6</v>
      </c>
    </row>
    <row r="4" spans="1:29" ht="21">
      <c r="A4" s="6">
        <v>101</v>
      </c>
      <c r="B4" s="6" t="s">
        <v>8</v>
      </c>
      <c r="C4" s="6" t="s">
        <v>13</v>
      </c>
      <c r="D4" s="6" t="s">
        <v>6</v>
      </c>
      <c r="E4" s="6" t="s">
        <v>19</v>
      </c>
      <c r="F4" s="6" t="s">
        <v>19</v>
      </c>
      <c r="G4" s="6" t="s">
        <v>19</v>
      </c>
      <c r="H4" s="6" t="s">
        <v>6</v>
      </c>
      <c r="I4" s="6" t="s">
        <v>6</v>
      </c>
      <c r="J4" s="6" t="s">
        <v>6</v>
      </c>
      <c r="K4" s="6" t="s">
        <v>6</v>
      </c>
      <c r="L4" s="6" t="s">
        <v>4</v>
      </c>
      <c r="M4" s="6" t="s">
        <v>4</v>
      </c>
      <c r="N4" s="6"/>
      <c r="O4" s="6"/>
      <c r="P4" s="6"/>
      <c r="Q4" s="6"/>
      <c r="R4" s="6"/>
      <c r="S4" s="6"/>
      <c r="T4" s="6"/>
      <c r="U4" s="6"/>
      <c r="V4" s="6"/>
      <c r="W4" s="11">
        <f>COUNTA(D3:V3)</f>
        <v>19</v>
      </c>
      <c r="X4" s="11">
        <f>COUNTIF(C4:H4,"Absent")</f>
        <v>0</v>
      </c>
      <c r="Y4" s="11">
        <f>COUNTIF(C4:V4,"Leave")</f>
        <v>0</v>
      </c>
      <c r="Z4" s="11">
        <f>COUNTIF(C4:V4,"Paid Leave")</f>
        <v>0</v>
      </c>
      <c r="AA4" s="11">
        <f>COUNTIF(C4:V4,"Unpaid Leave")</f>
        <v>0</v>
      </c>
      <c r="AB4" s="11">
        <f>COUNTIF(C4:V4,"Causual Leave")</f>
        <v>3</v>
      </c>
      <c r="AC4" s="12">
        <f>W4-X4-Y4-Z4-AA4-AB4</f>
        <v>16</v>
      </c>
    </row>
    <row r="5" spans="1:29" ht="21">
      <c r="A5" s="6">
        <v>102</v>
      </c>
      <c r="B5" s="6" t="s">
        <v>9</v>
      </c>
      <c r="C5" s="6" t="s">
        <v>14</v>
      </c>
      <c r="D5" s="6" t="s">
        <v>4</v>
      </c>
      <c r="E5" s="6" t="s">
        <v>18</v>
      </c>
      <c r="F5" s="6" t="s">
        <v>18</v>
      </c>
      <c r="G5" s="6" t="s">
        <v>6</v>
      </c>
      <c r="H5" s="6" t="s">
        <v>4</v>
      </c>
      <c r="I5" s="6" t="s">
        <v>4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11">
        <f>COUNTA(D3:V3)</f>
        <v>19</v>
      </c>
      <c r="X5" s="11">
        <f t="shared" ref="X5:X12" si="0">COUNTIF(C5:H5,"Absent")</f>
        <v>2</v>
      </c>
      <c r="Y5" s="11">
        <f t="shared" ref="Y5:Y12" si="1">COUNTIF(C5:V5,"Leave")</f>
        <v>0</v>
      </c>
      <c r="Z5" s="11">
        <f t="shared" ref="Z5:Z12" si="2">COUNTIF(C5:V5,"Paid Leave")</f>
        <v>0</v>
      </c>
      <c r="AA5" s="11">
        <f t="shared" ref="AA5:AA12" si="3">COUNTIF(C5:V5,"Unpaid Leave")</f>
        <v>2</v>
      </c>
      <c r="AB5" s="11">
        <f t="shared" ref="AB5:AB12" si="4">COUNTIF(C5:V5,"Causual Leave")</f>
        <v>0</v>
      </c>
      <c r="AC5" s="12">
        <f t="shared" ref="AC5:AC12" si="5">W5-X5-Y5-Z5-AA5-AB5</f>
        <v>15</v>
      </c>
    </row>
    <row r="6" spans="1:29" ht="21">
      <c r="A6" s="6">
        <v>103</v>
      </c>
      <c r="B6" s="6" t="s">
        <v>10</v>
      </c>
      <c r="C6" s="6" t="s">
        <v>14</v>
      </c>
      <c r="D6" s="6" t="s">
        <v>5</v>
      </c>
      <c r="E6" s="6" t="s">
        <v>6</v>
      </c>
      <c r="F6" s="6" t="s">
        <v>4</v>
      </c>
      <c r="G6" s="6" t="s">
        <v>6</v>
      </c>
      <c r="H6" s="6" t="s">
        <v>6</v>
      </c>
      <c r="I6" s="6" t="s">
        <v>17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11">
        <v>19</v>
      </c>
      <c r="X6" s="11">
        <f t="shared" si="0"/>
        <v>1</v>
      </c>
      <c r="Y6" s="11">
        <f t="shared" si="1"/>
        <v>1</v>
      </c>
      <c r="Z6" s="11">
        <f t="shared" si="2"/>
        <v>1</v>
      </c>
      <c r="AA6" s="11">
        <f t="shared" si="3"/>
        <v>0</v>
      </c>
      <c r="AB6" s="11">
        <f t="shared" si="4"/>
        <v>0</v>
      </c>
      <c r="AC6" s="12">
        <f t="shared" si="5"/>
        <v>16</v>
      </c>
    </row>
    <row r="7" spans="1:29" ht="21">
      <c r="A7" s="6">
        <v>104</v>
      </c>
      <c r="B7" s="6" t="s">
        <v>11</v>
      </c>
      <c r="C7" s="6" t="s">
        <v>15</v>
      </c>
      <c r="D7" s="6" t="s">
        <v>17</v>
      </c>
      <c r="E7" s="6" t="s">
        <v>5</v>
      </c>
      <c r="F7" s="6" t="s">
        <v>6</v>
      </c>
      <c r="G7" s="6" t="s">
        <v>6</v>
      </c>
      <c r="H7" s="6" t="s">
        <v>6</v>
      </c>
      <c r="I7" s="6" t="s">
        <v>17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11">
        <v>19</v>
      </c>
      <c r="X7" s="11">
        <f t="shared" si="0"/>
        <v>0</v>
      </c>
      <c r="Y7" s="11">
        <f t="shared" si="1"/>
        <v>1</v>
      </c>
      <c r="Z7" s="11">
        <f t="shared" si="2"/>
        <v>2</v>
      </c>
      <c r="AA7" s="11">
        <f t="shared" si="3"/>
        <v>0</v>
      </c>
      <c r="AB7" s="11">
        <f t="shared" si="4"/>
        <v>0</v>
      </c>
      <c r="AC7" s="12">
        <f t="shared" si="5"/>
        <v>16</v>
      </c>
    </row>
    <row r="8" spans="1:29" ht="21">
      <c r="A8" s="6">
        <v>105</v>
      </c>
      <c r="B8" s="6" t="s">
        <v>12</v>
      </c>
      <c r="C8" s="6" t="s">
        <v>16</v>
      </c>
      <c r="D8" s="6" t="s">
        <v>18</v>
      </c>
      <c r="E8" s="6" t="s">
        <v>4</v>
      </c>
      <c r="F8" s="6" t="s">
        <v>4</v>
      </c>
      <c r="G8" s="6" t="s">
        <v>6</v>
      </c>
      <c r="H8" s="6" t="s">
        <v>6</v>
      </c>
      <c r="I8" s="6" t="s">
        <v>17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11">
        <v>19</v>
      </c>
      <c r="X8" s="11">
        <f t="shared" si="0"/>
        <v>2</v>
      </c>
      <c r="Y8" s="11">
        <f t="shared" si="1"/>
        <v>0</v>
      </c>
      <c r="Z8" s="11">
        <f t="shared" si="2"/>
        <v>1</v>
      </c>
      <c r="AA8" s="11">
        <f t="shared" si="3"/>
        <v>1</v>
      </c>
      <c r="AB8" s="11">
        <f t="shared" si="4"/>
        <v>0</v>
      </c>
      <c r="AC8" s="12">
        <f t="shared" si="5"/>
        <v>15</v>
      </c>
    </row>
    <row r="9" spans="1:29" ht="21">
      <c r="A9" s="6">
        <v>106</v>
      </c>
      <c r="B9" s="6" t="s">
        <v>11</v>
      </c>
      <c r="C9" s="6" t="s">
        <v>16</v>
      </c>
      <c r="D9" s="6" t="s">
        <v>19</v>
      </c>
      <c r="E9" s="6" t="s">
        <v>4</v>
      </c>
      <c r="F9" s="6" t="s">
        <v>5</v>
      </c>
      <c r="G9" s="6" t="s">
        <v>6</v>
      </c>
      <c r="H9" s="6" t="s">
        <v>6</v>
      </c>
      <c r="I9" s="6" t="s">
        <v>6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11">
        <v>19</v>
      </c>
      <c r="X9" s="11">
        <f t="shared" si="0"/>
        <v>1</v>
      </c>
      <c r="Y9" s="11">
        <f t="shared" si="1"/>
        <v>1</v>
      </c>
      <c r="Z9" s="11">
        <f t="shared" si="2"/>
        <v>0</v>
      </c>
      <c r="AA9" s="11">
        <f t="shared" si="3"/>
        <v>0</v>
      </c>
      <c r="AB9" s="11">
        <f t="shared" si="4"/>
        <v>1</v>
      </c>
      <c r="AC9" s="12">
        <f t="shared" si="5"/>
        <v>16</v>
      </c>
    </row>
    <row r="10" spans="1:29" ht="21">
      <c r="A10" s="6">
        <v>107</v>
      </c>
      <c r="B10" s="6" t="s">
        <v>11</v>
      </c>
      <c r="C10" s="6" t="s">
        <v>14</v>
      </c>
      <c r="D10" s="6" t="s">
        <v>4</v>
      </c>
      <c r="E10" s="6" t="s">
        <v>6</v>
      </c>
      <c r="F10" s="6" t="s">
        <v>17</v>
      </c>
      <c r="G10" s="6" t="s">
        <v>6</v>
      </c>
      <c r="H10" s="6" t="s">
        <v>6</v>
      </c>
      <c r="I10" s="6" t="s">
        <v>6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11">
        <v>19</v>
      </c>
      <c r="X10" s="11">
        <f t="shared" si="0"/>
        <v>1</v>
      </c>
      <c r="Y10" s="11">
        <f t="shared" si="1"/>
        <v>0</v>
      </c>
      <c r="Z10" s="11">
        <f t="shared" si="2"/>
        <v>1</v>
      </c>
      <c r="AA10" s="11">
        <f t="shared" si="3"/>
        <v>0</v>
      </c>
      <c r="AB10" s="11">
        <f t="shared" si="4"/>
        <v>0</v>
      </c>
      <c r="AC10" s="12">
        <f t="shared" si="5"/>
        <v>17</v>
      </c>
    </row>
    <row r="11" spans="1:29" ht="21">
      <c r="A11" s="6">
        <v>108</v>
      </c>
      <c r="B11" s="6" t="s">
        <v>11</v>
      </c>
      <c r="C11" s="6" t="s">
        <v>21</v>
      </c>
      <c r="D11" s="6" t="s">
        <v>6</v>
      </c>
      <c r="E11" s="6" t="s">
        <v>6</v>
      </c>
      <c r="F11" s="6" t="s">
        <v>18</v>
      </c>
      <c r="G11" s="6" t="s">
        <v>6</v>
      </c>
      <c r="H11" s="6" t="s">
        <v>6</v>
      </c>
      <c r="I11" s="6" t="s">
        <v>6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11">
        <v>19</v>
      </c>
      <c r="X11" s="11">
        <f t="shared" si="0"/>
        <v>0</v>
      </c>
      <c r="Y11" s="11">
        <f t="shared" si="1"/>
        <v>0</v>
      </c>
      <c r="Z11" s="11">
        <f t="shared" si="2"/>
        <v>0</v>
      </c>
      <c r="AA11" s="11">
        <f t="shared" si="3"/>
        <v>1</v>
      </c>
      <c r="AB11" s="11">
        <f t="shared" si="4"/>
        <v>0</v>
      </c>
      <c r="AC11" s="12">
        <f t="shared" si="5"/>
        <v>18</v>
      </c>
    </row>
    <row r="12" spans="1:29" ht="21">
      <c r="A12" s="7">
        <v>109</v>
      </c>
      <c r="B12" s="7" t="s">
        <v>11</v>
      </c>
      <c r="C12" s="7" t="s">
        <v>22</v>
      </c>
      <c r="D12" s="7" t="s">
        <v>6</v>
      </c>
      <c r="E12" s="7" t="s">
        <v>6</v>
      </c>
      <c r="F12" s="7" t="s">
        <v>6</v>
      </c>
      <c r="G12" s="7" t="s">
        <v>6</v>
      </c>
      <c r="H12" s="7" t="s">
        <v>6</v>
      </c>
      <c r="I12" s="7" t="s">
        <v>17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11">
        <v>19</v>
      </c>
      <c r="X12" s="11">
        <f t="shared" si="0"/>
        <v>0</v>
      </c>
      <c r="Y12" s="11">
        <f t="shared" si="1"/>
        <v>0</v>
      </c>
      <c r="Z12" s="11">
        <f t="shared" si="2"/>
        <v>1</v>
      </c>
      <c r="AA12" s="11">
        <f t="shared" si="3"/>
        <v>0</v>
      </c>
      <c r="AB12" s="11">
        <f t="shared" si="4"/>
        <v>0</v>
      </c>
      <c r="AC12" s="12">
        <f t="shared" si="5"/>
        <v>18</v>
      </c>
    </row>
    <row r="13" spans="1:29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9"/>
    </row>
    <row r="14" spans="1:29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9"/>
    </row>
    <row r="15" spans="1:29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9"/>
    </row>
    <row r="16" spans="1:29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9"/>
    </row>
    <row r="17" spans="1:29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9"/>
    </row>
    <row r="18" spans="1:29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9"/>
    </row>
    <row r="19" spans="1:2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9"/>
    </row>
    <row r="20" spans="1:29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9"/>
    </row>
    <row r="21" spans="1:29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9"/>
    </row>
    <row r="22" spans="1:29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9"/>
    </row>
    <row r="23" spans="1:29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9"/>
    </row>
    <row r="24" spans="1:29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9"/>
    </row>
    <row r="25" spans="1:29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9"/>
    </row>
    <row r="26" spans="1:29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9"/>
    </row>
    <row r="27" spans="1:29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9"/>
    </row>
    <row r="28" spans="1:29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9"/>
    </row>
    <row r="29" spans="1: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9"/>
    </row>
    <row r="30" spans="1:29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9"/>
    </row>
    <row r="31" spans="1:29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9"/>
    </row>
    <row r="32" spans="1:29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9"/>
    </row>
    <row r="33" spans="1:29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9"/>
    </row>
    <row r="34" spans="1:29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9"/>
    </row>
  </sheetData>
  <mergeCells count="2">
    <mergeCell ref="A1:Z2"/>
    <mergeCell ref="AA1:AC2"/>
  </mergeCells>
  <dataValidations count="2">
    <dataValidation type="list" allowBlank="1" showInputMessage="1" showErrorMessage="1" sqref="C1:C1048576">
      <formula1>"Manager, Asst. Manager, UDC, LDC, Staff, Employee, Cleanning Staff"</formula1>
    </dataValidation>
    <dataValidation type="list" allowBlank="1" showInputMessage="1" showErrorMessage="1" sqref="D4:V34">
      <formula1>"Present, Absent, Leave, Paid Leave, Unpaid Leave, Causual Leave, 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4:AN15"/>
  <sheetViews>
    <sheetView tabSelected="1" zoomScale="85" zoomScaleNormal="85" workbookViewId="0">
      <selection activeCell="AG6" sqref="AG6"/>
    </sheetView>
  </sheetViews>
  <sheetFormatPr defaultRowHeight="14.4"/>
  <cols>
    <col min="2" max="2" width="16.21875" bestFit="1" customWidth="1"/>
    <col min="3" max="3" width="12" bestFit="1" customWidth="1"/>
    <col min="4" max="4" width="3.88671875" customWidth="1"/>
    <col min="5" max="5" width="3.5546875" customWidth="1"/>
    <col min="6" max="6" width="3.44140625" customWidth="1"/>
    <col min="7" max="7" width="3.77734375" customWidth="1"/>
    <col min="8" max="9" width="3.6640625" customWidth="1"/>
    <col min="10" max="10" width="3.77734375" customWidth="1"/>
    <col min="11" max="11" width="3.5546875" customWidth="1"/>
    <col min="12" max="12" width="3.109375" customWidth="1"/>
    <col min="13" max="13" width="3.5546875" customWidth="1"/>
    <col min="14" max="14" width="3.44140625" customWidth="1"/>
    <col min="15" max="34" width="3.21875" bestFit="1" customWidth="1"/>
    <col min="39" max="39" width="19.109375" bestFit="1" customWidth="1"/>
    <col min="40" max="40" width="14.21875" bestFit="1" customWidth="1"/>
  </cols>
  <sheetData>
    <row r="4" spans="1:40" ht="15.6">
      <c r="A4" s="14" t="s">
        <v>23</v>
      </c>
      <c r="B4" s="14">
        <v>2025</v>
      </c>
      <c r="C4" s="14" t="s">
        <v>25</v>
      </c>
      <c r="D4" s="15">
        <v>1</v>
      </c>
      <c r="E4" s="15">
        <v>2</v>
      </c>
      <c r="F4" s="14">
        <v>3</v>
      </c>
      <c r="G4" s="14">
        <v>4</v>
      </c>
      <c r="H4" s="14">
        <v>5</v>
      </c>
      <c r="I4" s="14">
        <v>6</v>
      </c>
      <c r="J4" s="14">
        <v>7</v>
      </c>
      <c r="K4" s="14">
        <v>8</v>
      </c>
      <c r="L4" s="14">
        <v>9</v>
      </c>
      <c r="M4" s="14">
        <v>10</v>
      </c>
      <c r="N4" s="14">
        <v>11</v>
      </c>
      <c r="O4" s="14">
        <v>12</v>
      </c>
      <c r="P4" s="14">
        <v>13</v>
      </c>
      <c r="Q4" s="14">
        <v>14</v>
      </c>
      <c r="R4" s="14">
        <v>15</v>
      </c>
      <c r="S4" s="14">
        <v>16</v>
      </c>
      <c r="T4" s="14">
        <v>17</v>
      </c>
      <c r="U4" s="14">
        <v>18</v>
      </c>
      <c r="V4" s="14">
        <v>19</v>
      </c>
      <c r="W4" s="14">
        <v>20</v>
      </c>
      <c r="X4" s="14">
        <v>21</v>
      </c>
      <c r="Y4" s="14">
        <v>22</v>
      </c>
      <c r="Z4" s="14">
        <v>23</v>
      </c>
      <c r="AA4" s="14">
        <v>24</v>
      </c>
      <c r="AB4" s="14">
        <v>25</v>
      </c>
      <c r="AC4" s="14">
        <v>26</v>
      </c>
      <c r="AD4" s="14">
        <v>27</v>
      </c>
      <c r="AE4" s="14">
        <v>28</v>
      </c>
      <c r="AF4" s="14">
        <v>29</v>
      </c>
      <c r="AG4" s="14">
        <v>30</v>
      </c>
      <c r="AH4" s="14">
        <v>31</v>
      </c>
      <c r="AI4" s="21" t="s">
        <v>48</v>
      </c>
      <c r="AJ4" s="21"/>
      <c r="AK4" s="21"/>
      <c r="AL4" s="21"/>
      <c r="AM4" s="21"/>
      <c r="AN4" s="21"/>
    </row>
    <row r="5" spans="1:40" ht="15.6">
      <c r="A5" s="14" t="s">
        <v>24</v>
      </c>
      <c r="B5" s="14" t="s">
        <v>34</v>
      </c>
      <c r="C5" s="14" t="s">
        <v>26</v>
      </c>
      <c r="D5" s="15" t="s">
        <v>29</v>
      </c>
      <c r="E5" s="14" t="s">
        <v>29</v>
      </c>
      <c r="F5" s="14" t="s">
        <v>29</v>
      </c>
      <c r="G5" s="15" t="s">
        <v>29</v>
      </c>
      <c r="H5" s="10" t="s">
        <v>30</v>
      </c>
      <c r="I5" s="15"/>
      <c r="J5" s="15"/>
      <c r="K5" s="15"/>
      <c r="L5" s="15"/>
      <c r="M5" s="15"/>
      <c r="N5" s="15"/>
      <c r="O5" s="10" t="s">
        <v>30</v>
      </c>
      <c r="P5" s="15"/>
      <c r="Q5" s="15"/>
      <c r="R5" s="15"/>
      <c r="S5" s="15"/>
      <c r="T5" s="15"/>
      <c r="U5" s="15"/>
      <c r="V5" s="15"/>
      <c r="W5" s="15"/>
      <c r="X5" s="15"/>
      <c r="Y5" s="10" t="s">
        <v>30</v>
      </c>
      <c r="Z5" s="15"/>
      <c r="AA5" s="15"/>
      <c r="AB5" s="15"/>
      <c r="AC5" s="15"/>
      <c r="AD5" s="15"/>
      <c r="AE5" s="15"/>
      <c r="AF5" s="15"/>
      <c r="AG5" s="10" t="s">
        <v>30</v>
      </c>
      <c r="AH5" s="15"/>
      <c r="AI5" s="21"/>
      <c r="AJ5" s="21"/>
      <c r="AK5" s="21"/>
      <c r="AL5" s="21"/>
      <c r="AM5" s="21"/>
      <c r="AN5" s="21"/>
    </row>
    <row r="6" spans="1:40" ht="51">
      <c r="A6" s="14" t="s">
        <v>27</v>
      </c>
      <c r="B6" s="14" t="s">
        <v>28</v>
      </c>
      <c r="C6" s="14" t="s">
        <v>24</v>
      </c>
      <c r="D6" s="16" t="s">
        <v>31</v>
      </c>
      <c r="E6" s="16" t="s">
        <v>31</v>
      </c>
      <c r="F6" s="17" t="s">
        <v>32</v>
      </c>
      <c r="G6" s="17" t="s">
        <v>33</v>
      </c>
      <c r="H6" s="19" t="s">
        <v>49</v>
      </c>
      <c r="I6" s="17"/>
      <c r="J6" s="17"/>
      <c r="K6" s="17"/>
      <c r="L6" s="17"/>
      <c r="M6" s="17"/>
      <c r="N6" s="17"/>
      <c r="O6" s="19" t="s">
        <v>49</v>
      </c>
      <c r="P6" s="17"/>
      <c r="Q6" s="17"/>
      <c r="R6" s="17"/>
      <c r="S6" s="17"/>
      <c r="T6" s="17"/>
      <c r="U6" s="17"/>
      <c r="V6" s="17"/>
      <c r="W6" s="17"/>
      <c r="X6" s="17"/>
      <c r="Y6" s="19" t="s">
        <v>49</v>
      </c>
      <c r="Z6" s="17"/>
      <c r="AA6" s="17"/>
      <c r="AB6" s="17"/>
      <c r="AC6" s="17"/>
      <c r="AD6" s="17"/>
      <c r="AE6" s="17"/>
      <c r="AF6" s="17"/>
      <c r="AG6" s="19" t="s">
        <v>49</v>
      </c>
      <c r="AH6" s="17"/>
      <c r="AI6" s="13" t="s">
        <v>35</v>
      </c>
      <c r="AJ6" s="13" t="s">
        <v>8</v>
      </c>
      <c r="AK6" s="13" t="s">
        <v>36</v>
      </c>
      <c r="AL6" s="13" t="s">
        <v>37</v>
      </c>
      <c r="AM6" s="13" t="s">
        <v>38</v>
      </c>
      <c r="AN6" s="13" t="s">
        <v>39</v>
      </c>
    </row>
    <row r="7" spans="1:40" ht="15.6">
      <c r="A7">
        <v>1</v>
      </c>
      <c r="B7" s="18" t="s">
        <v>40</v>
      </c>
      <c r="C7" s="14" t="s">
        <v>34</v>
      </c>
      <c r="D7" t="s">
        <v>35</v>
      </c>
      <c r="E7" t="s">
        <v>8</v>
      </c>
      <c r="F7" t="s">
        <v>36</v>
      </c>
      <c r="H7" s="20"/>
      <c r="O7" s="20"/>
      <c r="Y7" s="20"/>
      <c r="AG7" s="20"/>
      <c r="AI7">
        <f>COUNTIF(D7:AH7,"P")</f>
        <v>1</v>
      </c>
      <c r="AJ7">
        <f>COUNTIF(D7:AH7,"A")</f>
        <v>1</v>
      </c>
      <c r="AK7">
        <f>COUNTIF(D7:AH7,"HD")</f>
        <v>1</v>
      </c>
      <c r="AL7">
        <f>COUNTIF(D7:AH7,"L")</f>
        <v>0</v>
      </c>
      <c r="AM7">
        <f>AI7+AJ7+AK7+AL7</f>
        <v>3</v>
      </c>
      <c r="AN7">
        <f>AM7-AJ7-(AK7/2)-AL7</f>
        <v>1.5</v>
      </c>
    </row>
    <row r="8" spans="1:40" ht="15.6">
      <c r="A8">
        <v>2</v>
      </c>
      <c r="B8" s="14" t="s">
        <v>41</v>
      </c>
      <c r="C8" s="14" t="s">
        <v>34</v>
      </c>
      <c r="D8" t="s">
        <v>35</v>
      </c>
      <c r="E8" t="s">
        <v>35</v>
      </c>
      <c r="F8" t="s">
        <v>36</v>
      </c>
      <c r="H8" s="20"/>
      <c r="O8" s="20"/>
      <c r="Y8" s="20"/>
      <c r="AG8" s="20"/>
      <c r="AI8">
        <f t="shared" ref="AI8:AI15" si="0">COUNTIF(D8:AH8,"P")</f>
        <v>2</v>
      </c>
      <c r="AJ8">
        <f t="shared" ref="AJ8:AJ15" si="1">COUNTIF(D8:AH8,"A")</f>
        <v>0</v>
      </c>
      <c r="AK8">
        <f t="shared" ref="AK8:AK15" si="2">COUNTIF(D8:AH8,"HD")</f>
        <v>1</v>
      </c>
      <c r="AL8">
        <f t="shared" ref="AL8:AL15" si="3">COUNTIF(D8:AH8,"L")</f>
        <v>0</v>
      </c>
      <c r="AM8">
        <f t="shared" ref="AM8:AM15" si="4">AI8+AJ8+AK8+AL8</f>
        <v>3</v>
      </c>
      <c r="AN8">
        <f t="shared" ref="AN8:AN15" si="5">AM8-AJ8-(AK8/2)-AL8</f>
        <v>2.5</v>
      </c>
    </row>
    <row r="9" spans="1:40" ht="15.6">
      <c r="A9">
        <v>3</v>
      </c>
      <c r="B9" s="14" t="s">
        <v>42</v>
      </c>
      <c r="C9" s="14" t="s">
        <v>34</v>
      </c>
      <c r="D9" t="s">
        <v>35</v>
      </c>
      <c r="E9" t="s">
        <v>35</v>
      </c>
      <c r="F9" t="s">
        <v>36</v>
      </c>
      <c r="H9" s="20"/>
      <c r="O9" s="20"/>
      <c r="Y9" s="20"/>
      <c r="AG9" s="20"/>
      <c r="AI9">
        <f t="shared" si="0"/>
        <v>2</v>
      </c>
      <c r="AJ9">
        <f t="shared" si="1"/>
        <v>0</v>
      </c>
      <c r="AK9">
        <f t="shared" si="2"/>
        <v>1</v>
      </c>
      <c r="AL9">
        <f t="shared" si="3"/>
        <v>0</v>
      </c>
      <c r="AM9">
        <f t="shared" si="4"/>
        <v>3</v>
      </c>
      <c r="AN9">
        <f t="shared" si="5"/>
        <v>2.5</v>
      </c>
    </row>
    <row r="10" spans="1:40" ht="15.6">
      <c r="A10">
        <v>4</v>
      </c>
      <c r="B10" s="14" t="s">
        <v>43</v>
      </c>
      <c r="C10" s="14" t="s">
        <v>34</v>
      </c>
      <c r="D10" t="s">
        <v>35</v>
      </c>
      <c r="E10" t="s">
        <v>35</v>
      </c>
      <c r="F10" t="s">
        <v>36</v>
      </c>
      <c r="H10" s="20"/>
      <c r="O10" s="20"/>
      <c r="Y10" s="20"/>
      <c r="AG10" s="20"/>
      <c r="AI10">
        <f t="shared" si="0"/>
        <v>2</v>
      </c>
      <c r="AJ10">
        <f t="shared" si="1"/>
        <v>0</v>
      </c>
      <c r="AK10">
        <f t="shared" si="2"/>
        <v>1</v>
      </c>
      <c r="AL10">
        <f t="shared" si="3"/>
        <v>0</v>
      </c>
      <c r="AM10">
        <f t="shared" si="4"/>
        <v>3</v>
      </c>
      <c r="AN10">
        <f t="shared" si="5"/>
        <v>2.5</v>
      </c>
    </row>
    <row r="11" spans="1:40" ht="15.6">
      <c r="A11">
        <v>5</v>
      </c>
      <c r="B11" s="14" t="s">
        <v>44</v>
      </c>
      <c r="C11" s="14" t="s">
        <v>34</v>
      </c>
      <c r="D11" t="s">
        <v>35</v>
      </c>
      <c r="E11" t="s">
        <v>35</v>
      </c>
      <c r="F11" t="s">
        <v>36</v>
      </c>
      <c r="H11" s="20"/>
      <c r="O11" s="20"/>
      <c r="Y11" s="20"/>
      <c r="AG11" s="20"/>
      <c r="AI11">
        <f t="shared" si="0"/>
        <v>2</v>
      </c>
      <c r="AJ11">
        <f t="shared" si="1"/>
        <v>0</v>
      </c>
      <c r="AK11">
        <f t="shared" si="2"/>
        <v>1</v>
      </c>
      <c r="AL11">
        <f t="shared" si="3"/>
        <v>0</v>
      </c>
      <c r="AM11">
        <f t="shared" si="4"/>
        <v>3</v>
      </c>
      <c r="AN11">
        <f t="shared" si="5"/>
        <v>2.5</v>
      </c>
    </row>
    <row r="12" spans="1:40" ht="15.6">
      <c r="A12">
        <v>6</v>
      </c>
      <c r="B12" s="14" t="s">
        <v>44</v>
      </c>
      <c r="C12" s="14" t="s">
        <v>34</v>
      </c>
      <c r="D12" t="s">
        <v>35</v>
      </c>
      <c r="E12" t="s">
        <v>8</v>
      </c>
      <c r="F12" t="s">
        <v>36</v>
      </c>
      <c r="H12" s="20"/>
      <c r="O12" s="20"/>
      <c r="Y12" s="20"/>
      <c r="AG12" s="20"/>
      <c r="AI12">
        <f t="shared" si="0"/>
        <v>1</v>
      </c>
      <c r="AJ12">
        <f t="shared" si="1"/>
        <v>1</v>
      </c>
      <c r="AK12">
        <f t="shared" si="2"/>
        <v>1</v>
      </c>
      <c r="AL12">
        <f t="shared" si="3"/>
        <v>0</v>
      </c>
      <c r="AM12">
        <f t="shared" si="4"/>
        <v>3</v>
      </c>
      <c r="AN12">
        <f t="shared" si="5"/>
        <v>1.5</v>
      </c>
    </row>
    <row r="13" spans="1:40" ht="15.6">
      <c r="A13">
        <v>7</v>
      </c>
      <c r="B13" s="14" t="s">
        <v>45</v>
      </c>
      <c r="C13" s="14" t="s">
        <v>34</v>
      </c>
      <c r="D13" t="s">
        <v>35</v>
      </c>
      <c r="E13" t="s">
        <v>36</v>
      </c>
      <c r="F13" t="s">
        <v>36</v>
      </c>
      <c r="H13" s="20"/>
      <c r="O13" s="20"/>
      <c r="Y13" s="20"/>
      <c r="AG13" s="20"/>
      <c r="AI13">
        <f t="shared" si="0"/>
        <v>1</v>
      </c>
      <c r="AJ13">
        <f t="shared" si="1"/>
        <v>0</v>
      </c>
      <c r="AK13">
        <f t="shared" si="2"/>
        <v>2</v>
      </c>
      <c r="AL13">
        <f t="shared" si="3"/>
        <v>0</v>
      </c>
      <c r="AM13">
        <f t="shared" si="4"/>
        <v>3</v>
      </c>
      <c r="AN13">
        <f t="shared" si="5"/>
        <v>2</v>
      </c>
    </row>
    <row r="14" spans="1:40" ht="15.6">
      <c r="A14">
        <v>8</v>
      </c>
      <c r="B14" s="14" t="s">
        <v>46</v>
      </c>
      <c r="C14" s="14" t="s">
        <v>34</v>
      </c>
      <c r="D14" t="s">
        <v>35</v>
      </c>
      <c r="E14" t="s">
        <v>36</v>
      </c>
      <c r="F14" t="s">
        <v>36</v>
      </c>
      <c r="H14" s="20"/>
      <c r="O14" s="20"/>
      <c r="Y14" s="20"/>
      <c r="AG14" s="20"/>
      <c r="AI14">
        <f t="shared" si="0"/>
        <v>1</v>
      </c>
      <c r="AJ14">
        <f t="shared" si="1"/>
        <v>0</v>
      </c>
      <c r="AK14">
        <f t="shared" si="2"/>
        <v>2</v>
      </c>
      <c r="AL14">
        <f t="shared" si="3"/>
        <v>0</v>
      </c>
      <c r="AM14">
        <f t="shared" si="4"/>
        <v>3</v>
      </c>
      <c r="AN14">
        <f t="shared" si="5"/>
        <v>2</v>
      </c>
    </row>
    <row r="15" spans="1:40" ht="15.6">
      <c r="A15">
        <v>9</v>
      </c>
      <c r="B15" s="14" t="s">
        <v>47</v>
      </c>
      <c r="C15" s="14" t="s">
        <v>34</v>
      </c>
      <c r="D15" t="s">
        <v>35</v>
      </c>
      <c r="E15" t="s">
        <v>36</v>
      </c>
      <c r="F15" t="s">
        <v>8</v>
      </c>
      <c r="H15" s="20"/>
      <c r="O15" s="20"/>
      <c r="Y15" s="20"/>
      <c r="AG15" s="20"/>
      <c r="AI15">
        <f t="shared" si="0"/>
        <v>1</v>
      </c>
      <c r="AJ15">
        <f t="shared" si="1"/>
        <v>1</v>
      </c>
      <c r="AK15">
        <f t="shared" si="2"/>
        <v>1</v>
      </c>
      <c r="AL15">
        <f t="shared" si="3"/>
        <v>0</v>
      </c>
      <c r="AM15">
        <f t="shared" si="4"/>
        <v>3</v>
      </c>
      <c r="AN15">
        <f t="shared" si="5"/>
        <v>1.5</v>
      </c>
    </row>
  </sheetData>
  <mergeCells count="1">
    <mergeCell ref="AI4:AN5"/>
  </mergeCells>
  <dataValidations count="4">
    <dataValidation type="list" allowBlank="1" showInputMessage="1" showErrorMessage="1" sqref="D5:AH5">
      <formula1>"W,H"</formula1>
    </dataValidation>
    <dataValidation type="list" allowBlank="1" showInputMessage="1" showErrorMessage="1" sqref="D6:AH6">
      <formula1>"Monday, Tuesday,Wednessday,Thursday,Friday,Saturday,Sunday"</formula1>
    </dataValidation>
    <dataValidation type="list" allowBlank="1" showInputMessage="1" showErrorMessage="1" sqref="B5">
      <formula1>"January,February,March,April,May,June,July,August,September,October,November,December"</formula1>
    </dataValidation>
    <dataValidation type="list" allowBlank="1" showInputMessage="1" showErrorMessage="1" sqref="D7:AH15">
      <formula1>"P,A,HD,L"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Buddhajit Roy</dc:creator>
  <cp:lastModifiedBy>Buddhajit Roy</cp:lastModifiedBy>
  <dcterms:created xsi:type="dcterms:W3CDTF">2026-02-21T14:53:22Z</dcterms:created>
  <dcterms:modified xsi:type="dcterms:W3CDTF">2026-02-21T16:10:25Z</dcterms:modified>
</cp:coreProperties>
</file>