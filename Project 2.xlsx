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2456" activeTab="1"/>
  </bookViews>
  <sheets>
    <sheet name="School marks data" sheetId="3" r:id="rId1"/>
    <sheet name="Bill Entry" sheetId="4" r:id="rId2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4"/>
  <c r="E6"/>
  <c r="E7"/>
  <c r="F7" s="1"/>
  <c r="G7" s="1"/>
  <c r="E8"/>
  <c r="F8" s="1"/>
  <c r="E9"/>
  <c r="E10"/>
  <c r="E11"/>
  <c r="E4"/>
  <c r="F4" s="1"/>
  <c r="G4" s="1"/>
  <c r="L9" i="3"/>
  <c r="L10"/>
  <c r="L8"/>
  <c r="C12"/>
  <c r="D12"/>
  <c r="E12"/>
  <c r="F12"/>
  <c r="G12"/>
  <c r="C13"/>
  <c r="D13"/>
  <c r="E13"/>
  <c r="F13"/>
  <c r="G13"/>
  <c r="C14"/>
  <c r="D14"/>
  <c r="E14"/>
  <c r="F14"/>
  <c r="G14"/>
  <c r="C15"/>
  <c r="D15"/>
  <c r="E15"/>
  <c r="F15"/>
  <c r="G15"/>
  <c r="C16"/>
  <c r="D16"/>
  <c r="E16"/>
  <c r="F16"/>
  <c r="G16"/>
  <c r="C17"/>
  <c r="D17"/>
  <c r="E17"/>
  <c r="F17"/>
  <c r="G17"/>
  <c r="C18"/>
  <c r="D18"/>
  <c r="E18"/>
  <c r="F18"/>
  <c r="G18"/>
  <c r="C19"/>
  <c r="D19"/>
  <c r="E19"/>
  <c r="F19"/>
  <c r="G19"/>
  <c r="C20"/>
  <c r="D20"/>
  <c r="E20"/>
  <c r="F20"/>
  <c r="G20"/>
  <c r="C21"/>
  <c r="D21"/>
  <c r="E21"/>
  <c r="F21"/>
  <c r="G21"/>
  <c r="C22"/>
  <c r="D22"/>
  <c r="E22"/>
  <c r="F22"/>
  <c r="G22"/>
  <c r="C23"/>
  <c r="D23"/>
  <c r="E23"/>
  <c r="F23"/>
  <c r="G23"/>
  <c r="C24"/>
  <c r="D24"/>
  <c r="E24"/>
  <c r="F24"/>
  <c r="G24"/>
  <c r="C25"/>
  <c r="D25"/>
  <c r="E25"/>
  <c r="F25"/>
  <c r="G25"/>
  <c r="C26"/>
  <c r="D26"/>
  <c r="E26"/>
  <c r="F26"/>
  <c r="G26"/>
  <c r="C27"/>
  <c r="D27"/>
  <c r="E27"/>
  <c r="F27"/>
  <c r="G27"/>
  <c r="C28"/>
  <c r="D28"/>
  <c r="E28"/>
  <c r="F28"/>
  <c r="G28"/>
  <c r="C29"/>
  <c r="D29"/>
  <c r="E29"/>
  <c r="F29"/>
  <c r="G29"/>
  <c r="C30"/>
  <c r="D30"/>
  <c r="E30"/>
  <c r="F30"/>
  <c r="G30"/>
  <c r="C31"/>
  <c r="D31"/>
  <c r="E31"/>
  <c r="F31"/>
  <c r="G31"/>
  <c r="C32"/>
  <c r="D32"/>
  <c r="E32"/>
  <c r="F32"/>
  <c r="G32"/>
  <c r="D11"/>
  <c r="E11"/>
  <c r="F11"/>
  <c r="G11"/>
  <c r="C11"/>
  <c r="K9"/>
  <c r="K10"/>
  <c r="K8"/>
  <c r="J9"/>
  <c r="J10"/>
  <c r="J8"/>
  <c r="I9"/>
  <c r="I10"/>
  <c r="I8"/>
  <c r="H9"/>
  <c r="H10"/>
  <c r="H8"/>
  <c r="G8" i="4" l="1"/>
  <c r="F9"/>
  <c r="G9" s="1"/>
  <c r="F10"/>
  <c r="G10" s="1"/>
  <c r="F11"/>
  <c r="G11" s="1"/>
  <c r="F5"/>
  <c r="G5" s="1"/>
  <c r="F6"/>
  <c r="G6" s="1"/>
  <c r="L28" i="3"/>
  <c r="L20"/>
  <c r="L12"/>
  <c r="L11"/>
  <c r="L25"/>
  <c r="L17"/>
  <c r="L31"/>
  <c r="L29"/>
  <c r="L26"/>
  <c r="L23"/>
  <c r="L21"/>
  <c r="L18"/>
  <c r="L15"/>
  <c r="L13"/>
  <c r="L30"/>
  <c r="L22"/>
  <c r="L14"/>
  <c r="L27"/>
  <c r="L19"/>
  <c r="L32"/>
  <c r="L24"/>
  <c r="L16"/>
  <c r="K12"/>
  <c r="H30"/>
  <c r="K27"/>
  <c r="K28"/>
  <c r="H14"/>
  <c r="K15"/>
  <c r="H17"/>
  <c r="K20"/>
  <c r="H22"/>
  <c r="K19"/>
  <c r="H32"/>
  <c r="K29"/>
  <c r="K24"/>
  <c r="K21"/>
  <c r="H16"/>
  <c r="J16" s="1"/>
  <c r="K13"/>
  <c r="K26"/>
  <c r="K18"/>
  <c r="K31"/>
  <c r="K30"/>
  <c r="K25"/>
  <c r="K22"/>
  <c r="K17"/>
  <c r="K14"/>
  <c r="K23"/>
  <c r="K32"/>
  <c r="K16"/>
  <c r="H19"/>
  <c r="H28"/>
  <c r="H20"/>
  <c r="H12"/>
  <c r="H18"/>
  <c r="H27"/>
  <c r="H29"/>
  <c r="H21"/>
  <c r="H13"/>
  <c r="H31"/>
  <c r="H23"/>
  <c r="H15"/>
  <c r="H24"/>
  <c r="H25"/>
  <c r="H26"/>
  <c r="K11"/>
  <c r="H11"/>
  <c r="G13" i="4" l="1"/>
  <c r="I32" i="3"/>
  <c r="I17"/>
  <c r="J22"/>
  <c r="J30"/>
  <c r="I16"/>
  <c r="I30"/>
  <c r="J17"/>
  <c r="J32"/>
  <c r="J14"/>
  <c r="I14"/>
  <c r="M8"/>
  <c r="I22"/>
  <c r="I21"/>
  <c r="J21"/>
  <c r="I23"/>
  <c r="J23"/>
  <c r="I15"/>
  <c r="J15"/>
  <c r="I18"/>
  <c r="J18"/>
  <c r="I24"/>
  <c r="J24"/>
  <c r="I27"/>
  <c r="J27"/>
  <c r="J19"/>
  <c r="I19"/>
  <c r="I25"/>
  <c r="J25"/>
  <c r="I29"/>
  <c r="J29"/>
  <c r="I28"/>
  <c r="J28"/>
  <c r="J26"/>
  <c r="I26"/>
  <c r="J20"/>
  <c r="I20"/>
  <c r="J13"/>
  <c r="I13"/>
  <c r="J12"/>
  <c r="I12"/>
  <c r="J31"/>
  <c r="I31"/>
  <c r="I11"/>
  <c r="J11"/>
</calcChain>
</file>

<file path=xl/sharedStrings.xml><?xml version="1.0" encoding="utf-8"?>
<sst xmlns="http://schemas.openxmlformats.org/spreadsheetml/2006/main" count="64" uniqueCount="59">
  <si>
    <t>Student ID</t>
  </si>
  <si>
    <t>Student Name</t>
  </si>
  <si>
    <t>Bengali (Out of 100)</t>
  </si>
  <si>
    <t>English (Out of 100</t>
  </si>
  <si>
    <t>Math (Out of 100)</t>
  </si>
  <si>
    <t>SST(Out of 100)</t>
  </si>
  <si>
    <t>Science (Out of 100)</t>
  </si>
  <si>
    <t>Buddhajit</t>
  </si>
  <si>
    <t>A</t>
  </si>
  <si>
    <t>C</t>
  </si>
  <si>
    <t>D</t>
  </si>
  <si>
    <t>E</t>
  </si>
  <si>
    <t>F</t>
  </si>
  <si>
    <t>G</t>
  </si>
  <si>
    <t>H</t>
  </si>
  <si>
    <t>U</t>
  </si>
  <si>
    <t>J</t>
  </si>
  <si>
    <t>K</t>
  </si>
  <si>
    <t>R</t>
  </si>
  <si>
    <t>W</t>
  </si>
  <si>
    <t>Q</t>
  </si>
  <si>
    <t>S</t>
  </si>
  <si>
    <t>X</t>
  </si>
  <si>
    <t>M</t>
  </si>
  <si>
    <t>N</t>
  </si>
  <si>
    <t>L</t>
  </si>
  <si>
    <t>O</t>
  </si>
  <si>
    <t>I</t>
  </si>
  <si>
    <t>Percentage</t>
  </si>
  <si>
    <t>Total Mark</t>
  </si>
  <si>
    <t>Pass/Fail</t>
  </si>
  <si>
    <t>Max</t>
  </si>
  <si>
    <t>min</t>
  </si>
  <si>
    <t>Average</t>
  </si>
  <si>
    <t>Invoice No</t>
  </si>
  <si>
    <t>Product Description</t>
  </si>
  <si>
    <t>Rate</t>
  </si>
  <si>
    <t>Quantity</t>
  </si>
  <si>
    <t>Amount</t>
  </si>
  <si>
    <t>Gst 18%</t>
  </si>
  <si>
    <t>Total Amount</t>
  </si>
  <si>
    <t>ES101</t>
  </si>
  <si>
    <t>ES102</t>
  </si>
  <si>
    <t>ES103</t>
  </si>
  <si>
    <t>ES104</t>
  </si>
  <si>
    <t>ES105</t>
  </si>
  <si>
    <t>ES106</t>
  </si>
  <si>
    <t>ES107</t>
  </si>
  <si>
    <t>ES108</t>
  </si>
  <si>
    <t>KEYBOARD</t>
  </si>
  <si>
    <t>MOUSE</t>
  </si>
  <si>
    <t>MONITOR</t>
  </si>
  <si>
    <t>GRAPHIC CARD</t>
  </si>
  <si>
    <t>RAM</t>
  </si>
  <si>
    <t>LAPTOP</t>
  </si>
  <si>
    <t>DESKTOP</t>
  </si>
  <si>
    <t>CPU</t>
  </si>
  <si>
    <t>GST</t>
  </si>
  <si>
    <t>TOTAL</t>
  </si>
</sst>
</file>

<file path=xl/styles.xml><?xml version="1.0" encoding="utf-8"?>
<styleSheet xmlns="http://schemas.openxmlformats.org/spreadsheetml/2006/main">
  <numFmts count="1">
    <numFmt numFmtId="167" formatCode="#\ \p\c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9" fontId="0" fillId="2" borderId="0" xfId="0" applyNumberFormat="1" applyFill="1"/>
    <xf numFmtId="0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4">
    <dxf>
      <numFmt numFmtId="167" formatCode="#\ \p\c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relativeIndent="0" justifyLastLine="0" shrinkToFit="0" mergeCell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3:G11" totalsRowShown="0" headerRowDxfId="3">
  <autoFilter ref="A3:G11"/>
  <tableColumns count="7">
    <tableColumn id="1" name="Invoice No"/>
    <tableColumn id="2" name="Product Description"/>
    <tableColumn id="3" name="Rate"/>
    <tableColumn id="4" name="Quantity" dataDxfId="0"/>
    <tableColumn id="5" name="Amount">
      <calculatedColumnFormula>C4*D4</calculatedColumnFormula>
    </tableColumn>
    <tableColumn id="6" name="Gst 18%" dataDxfId="2">
      <calculatedColumnFormula>(Table1[[#This Row],[Amount]]*18)/100</calculatedColumnFormula>
    </tableColumn>
    <tableColumn id="7" name="Total Amount" dataDxfId="1">
      <calculatedColumnFormula>SUM(Table1[[#This Row],[Amount]:[Gst 18%]])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M32"/>
  <sheetViews>
    <sheetView workbookViewId="0">
      <selection activeCell="N17" sqref="N17"/>
    </sheetView>
  </sheetViews>
  <sheetFormatPr defaultRowHeight="13.8"/>
  <cols>
    <col min="1" max="1" width="10.5" customWidth="1"/>
    <col min="2" max="2" width="12.296875" bestFit="1" customWidth="1"/>
    <col min="3" max="3" width="17.19921875" bestFit="1" customWidth="1"/>
    <col min="4" max="4" width="16.09765625" customWidth="1"/>
    <col min="5" max="5" width="15.09765625" bestFit="1" customWidth="1"/>
    <col min="6" max="6" width="14.19921875" bestFit="1" customWidth="1"/>
    <col min="7" max="7" width="18" customWidth="1"/>
    <col min="8" max="8" width="11.09765625" customWidth="1"/>
    <col min="9" max="9" width="12.3984375" customWidth="1"/>
  </cols>
  <sheetData>
    <row r="5" spans="1:13">
      <c r="G5" s="2" t="s">
        <v>29</v>
      </c>
      <c r="H5" s="2">
        <v>500</v>
      </c>
    </row>
    <row r="7" spans="1:13" ht="27.6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4" t="s">
        <v>29</v>
      </c>
      <c r="I7" s="4" t="s">
        <v>28</v>
      </c>
      <c r="J7" s="3" t="s">
        <v>30</v>
      </c>
      <c r="K7" s="3" t="s">
        <v>31</v>
      </c>
      <c r="L7" s="3" t="s">
        <v>32</v>
      </c>
      <c r="M7" s="3" t="s">
        <v>33</v>
      </c>
    </row>
    <row r="8" spans="1:13">
      <c r="A8">
        <v>1</v>
      </c>
      <c r="B8" t="s">
        <v>7</v>
      </c>
      <c r="C8">
        <v>87</v>
      </c>
      <c r="D8">
        <v>87</v>
      </c>
      <c r="E8">
        <v>87</v>
      </c>
      <c r="F8">
        <v>87</v>
      </c>
      <c r="G8">
        <v>87</v>
      </c>
      <c r="H8">
        <f>C8+D8+E8+F8+G8</f>
        <v>435</v>
      </c>
      <c r="I8">
        <f>(H8*100)/500</f>
        <v>87</v>
      </c>
      <c r="J8" t="str">
        <f>IF(H8&gt;260,"Pass","Fail")</f>
        <v>Pass</v>
      </c>
      <c r="K8">
        <f>MAX(C8:G8)</f>
        <v>87</v>
      </c>
      <c r="L8">
        <f>MIN(C8:G8)</f>
        <v>87</v>
      </c>
      <c r="M8">
        <f ca="1">AVERAGE(H8:H32)</f>
        <v>256.12</v>
      </c>
    </row>
    <row r="9" spans="1:13">
      <c r="A9">
        <v>2</v>
      </c>
      <c r="B9" t="s">
        <v>8</v>
      </c>
      <c r="C9">
        <v>54</v>
      </c>
      <c r="D9">
        <v>56</v>
      </c>
      <c r="E9">
        <v>76</v>
      </c>
      <c r="F9">
        <v>87</v>
      </c>
      <c r="G9">
        <v>95</v>
      </c>
      <c r="H9">
        <f t="shared" ref="H9:H34" si="0">C9+D9+E9+F9+G9</f>
        <v>368</v>
      </c>
      <c r="I9">
        <f t="shared" ref="I9:I34" si="1">(H9*100)/500</f>
        <v>73.599999999999994</v>
      </c>
      <c r="J9" t="str">
        <f t="shared" ref="J9:J34" si="2">IF(H9&gt;260,"Pass","Fail")</f>
        <v>Pass</v>
      </c>
      <c r="K9">
        <f t="shared" ref="K9:K34" si="3">MAX(C9:G9)</f>
        <v>95</v>
      </c>
      <c r="L9">
        <f t="shared" ref="L9:L32" si="4">MIN(C9:G9)</f>
        <v>54</v>
      </c>
    </row>
    <row r="10" spans="1:13">
      <c r="A10">
        <v>3</v>
      </c>
      <c r="B10" t="s">
        <v>13</v>
      </c>
      <c r="C10">
        <v>23</v>
      </c>
      <c r="D10">
        <v>34</v>
      </c>
      <c r="E10">
        <v>54</v>
      </c>
      <c r="F10">
        <v>65</v>
      </c>
      <c r="G10">
        <v>76</v>
      </c>
      <c r="H10">
        <f t="shared" si="0"/>
        <v>252</v>
      </c>
      <c r="I10">
        <f t="shared" si="1"/>
        <v>50.4</v>
      </c>
      <c r="J10" t="str">
        <f t="shared" si="2"/>
        <v>Fail</v>
      </c>
      <c r="K10">
        <f t="shared" si="3"/>
        <v>76</v>
      </c>
      <c r="L10">
        <f t="shared" si="4"/>
        <v>23</v>
      </c>
    </row>
    <row r="11" spans="1:13">
      <c r="A11">
        <v>4</v>
      </c>
      <c r="B11" t="s">
        <v>9</v>
      </c>
      <c r="C11">
        <f ca="1">RANDBETWEEN(2,100)</f>
        <v>18</v>
      </c>
      <c r="D11">
        <f t="shared" ref="D11:G26" ca="1" si="5">RANDBETWEEN(2,100)</f>
        <v>48</v>
      </c>
      <c r="E11">
        <f t="shared" ca="1" si="5"/>
        <v>50</v>
      </c>
      <c r="F11">
        <f t="shared" ca="1" si="5"/>
        <v>23</v>
      </c>
      <c r="G11">
        <f t="shared" ca="1" si="5"/>
        <v>69</v>
      </c>
      <c r="H11">
        <f t="shared" ca="1" si="0"/>
        <v>208</v>
      </c>
      <c r="I11">
        <f t="shared" ca="1" si="1"/>
        <v>41.6</v>
      </c>
      <c r="J11" t="str">
        <f t="shared" ca="1" si="2"/>
        <v>Fail</v>
      </c>
      <c r="K11">
        <f t="shared" ca="1" si="3"/>
        <v>69</v>
      </c>
      <c r="L11">
        <f t="shared" ca="1" si="4"/>
        <v>18</v>
      </c>
    </row>
    <row r="12" spans="1:13">
      <c r="A12">
        <v>5</v>
      </c>
      <c r="B12" t="s">
        <v>10</v>
      </c>
      <c r="C12">
        <f t="shared" ref="C12:G34" ca="1" si="6">RANDBETWEEN(2,100)</f>
        <v>52</v>
      </c>
      <c r="D12">
        <f t="shared" ca="1" si="5"/>
        <v>92</v>
      </c>
      <c r="E12">
        <f t="shared" ca="1" si="5"/>
        <v>53</v>
      </c>
      <c r="F12">
        <f t="shared" ca="1" si="5"/>
        <v>32</v>
      </c>
      <c r="G12">
        <f t="shared" ca="1" si="5"/>
        <v>20</v>
      </c>
      <c r="H12">
        <f t="shared" ca="1" si="0"/>
        <v>249</v>
      </c>
      <c r="I12">
        <f t="shared" ca="1" si="1"/>
        <v>49.8</v>
      </c>
      <c r="J12" t="str">
        <f t="shared" ca="1" si="2"/>
        <v>Fail</v>
      </c>
      <c r="K12">
        <f t="shared" ca="1" si="3"/>
        <v>92</v>
      </c>
      <c r="L12">
        <f t="shared" ca="1" si="4"/>
        <v>20</v>
      </c>
    </row>
    <row r="13" spans="1:13">
      <c r="A13">
        <v>6</v>
      </c>
      <c r="B13" t="s">
        <v>11</v>
      </c>
      <c r="C13">
        <f t="shared" ca="1" si="6"/>
        <v>43</v>
      </c>
      <c r="D13">
        <f t="shared" ca="1" si="5"/>
        <v>66</v>
      </c>
      <c r="E13">
        <f t="shared" ca="1" si="5"/>
        <v>5</v>
      </c>
      <c r="F13">
        <f t="shared" ca="1" si="5"/>
        <v>8</v>
      </c>
      <c r="G13">
        <f t="shared" ca="1" si="5"/>
        <v>82</v>
      </c>
      <c r="H13">
        <f t="shared" ca="1" si="0"/>
        <v>204</v>
      </c>
      <c r="I13">
        <f t="shared" ca="1" si="1"/>
        <v>40.799999999999997</v>
      </c>
      <c r="J13" t="str">
        <f t="shared" ca="1" si="2"/>
        <v>Fail</v>
      </c>
      <c r="K13">
        <f t="shared" ca="1" si="3"/>
        <v>82</v>
      </c>
      <c r="L13">
        <f t="shared" ca="1" si="4"/>
        <v>5</v>
      </c>
    </row>
    <row r="14" spans="1:13">
      <c r="A14">
        <v>7</v>
      </c>
      <c r="B14" t="s">
        <v>12</v>
      </c>
      <c r="C14">
        <f t="shared" ca="1" si="6"/>
        <v>75</v>
      </c>
      <c r="D14">
        <f t="shared" ca="1" si="5"/>
        <v>95</v>
      </c>
      <c r="E14">
        <f t="shared" ca="1" si="5"/>
        <v>72</v>
      </c>
      <c r="F14">
        <f t="shared" ca="1" si="5"/>
        <v>67</v>
      </c>
      <c r="G14">
        <f t="shared" ca="1" si="5"/>
        <v>94</v>
      </c>
      <c r="H14">
        <f t="shared" ca="1" si="0"/>
        <v>403</v>
      </c>
      <c r="I14">
        <f t="shared" ca="1" si="1"/>
        <v>80.599999999999994</v>
      </c>
      <c r="J14" t="str">
        <f t="shared" ca="1" si="2"/>
        <v>Pass</v>
      </c>
      <c r="K14">
        <f t="shared" ca="1" si="3"/>
        <v>95</v>
      </c>
      <c r="L14">
        <f t="shared" ca="1" si="4"/>
        <v>67</v>
      </c>
    </row>
    <row r="15" spans="1:13">
      <c r="A15">
        <v>8</v>
      </c>
      <c r="B15" t="s">
        <v>13</v>
      </c>
      <c r="C15">
        <f t="shared" ca="1" si="6"/>
        <v>97</v>
      </c>
      <c r="D15">
        <f t="shared" ca="1" si="5"/>
        <v>42</v>
      </c>
      <c r="E15">
        <f t="shared" ca="1" si="5"/>
        <v>10</v>
      </c>
      <c r="F15">
        <f t="shared" ca="1" si="5"/>
        <v>57</v>
      </c>
      <c r="G15">
        <f t="shared" ca="1" si="5"/>
        <v>6</v>
      </c>
      <c r="H15">
        <f t="shared" ca="1" si="0"/>
        <v>212</v>
      </c>
      <c r="I15">
        <f t="shared" ca="1" si="1"/>
        <v>42.4</v>
      </c>
      <c r="J15" t="str">
        <f t="shared" ca="1" si="2"/>
        <v>Fail</v>
      </c>
      <c r="K15">
        <f t="shared" ca="1" si="3"/>
        <v>97</v>
      </c>
      <c r="L15">
        <f t="shared" ca="1" si="4"/>
        <v>6</v>
      </c>
    </row>
    <row r="16" spans="1:13">
      <c r="A16">
        <v>9</v>
      </c>
      <c r="B16" t="s">
        <v>14</v>
      </c>
      <c r="C16">
        <f t="shared" ca="1" si="6"/>
        <v>61</v>
      </c>
      <c r="D16">
        <f t="shared" ca="1" si="5"/>
        <v>9</v>
      </c>
      <c r="E16">
        <f t="shared" ca="1" si="5"/>
        <v>22</v>
      </c>
      <c r="F16">
        <f t="shared" ca="1" si="5"/>
        <v>32</v>
      </c>
      <c r="G16">
        <f t="shared" ca="1" si="5"/>
        <v>35</v>
      </c>
      <c r="H16">
        <f t="shared" ca="1" si="0"/>
        <v>159</v>
      </c>
      <c r="I16">
        <f t="shared" ca="1" si="1"/>
        <v>31.8</v>
      </c>
      <c r="J16" t="str">
        <f t="shared" ca="1" si="2"/>
        <v>Fail</v>
      </c>
      <c r="K16">
        <f t="shared" ca="1" si="3"/>
        <v>61</v>
      </c>
      <c r="L16">
        <f t="shared" ca="1" si="4"/>
        <v>9</v>
      </c>
    </row>
    <row r="17" spans="1:12">
      <c r="A17">
        <v>10</v>
      </c>
      <c r="B17" t="s">
        <v>15</v>
      </c>
      <c r="C17">
        <f t="shared" ca="1" si="6"/>
        <v>38</v>
      </c>
      <c r="D17">
        <f t="shared" ca="1" si="5"/>
        <v>29</v>
      </c>
      <c r="E17">
        <f t="shared" ca="1" si="5"/>
        <v>72</v>
      </c>
      <c r="F17">
        <f t="shared" ca="1" si="5"/>
        <v>45</v>
      </c>
      <c r="G17">
        <f t="shared" ca="1" si="5"/>
        <v>18</v>
      </c>
      <c r="H17">
        <f t="shared" ca="1" si="0"/>
        <v>202</v>
      </c>
      <c r="I17">
        <f t="shared" ca="1" si="1"/>
        <v>40.4</v>
      </c>
      <c r="J17" t="str">
        <f t="shared" ca="1" si="2"/>
        <v>Fail</v>
      </c>
      <c r="K17">
        <f t="shared" ca="1" si="3"/>
        <v>72</v>
      </c>
      <c r="L17">
        <f t="shared" ca="1" si="4"/>
        <v>18</v>
      </c>
    </row>
    <row r="18" spans="1:12">
      <c r="A18">
        <v>11</v>
      </c>
      <c r="B18" t="s">
        <v>16</v>
      </c>
      <c r="C18">
        <f t="shared" ca="1" si="6"/>
        <v>69</v>
      </c>
      <c r="D18">
        <f t="shared" ca="1" si="5"/>
        <v>24</v>
      </c>
      <c r="E18">
        <f t="shared" ca="1" si="5"/>
        <v>13</v>
      </c>
      <c r="F18">
        <f t="shared" ca="1" si="5"/>
        <v>19</v>
      </c>
      <c r="G18">
        <f t="shared" ca="1" si="5"/>
        <v>25</v>
      </c>
      <c r="H18">
        <f t="shared" ca="1" si="0"/>
        <v>150</v>
      </c>
      <c r="I18">
        <f t="shared" ca="1" si="1"/>
        <v>30</v>
      </c>
      <c r="J18" t="str">
        <f t="shared" ca="1" si="2"/>
        <v>Fail</v>
      </c>
      <c r="K18">
        <f t="shared" ca="1" si="3"/>
        <v>69</v>
      </c>
      <c r="L18">
        <f t="shared" ca="1" si="4"/>
        <v>13</v>
      </c>
    </row>
    <row r="19" spans="1:12">
      <c r="A19">
        <v>12</v>
      </c>
      <c r="B19" t="s">
        <v>17</v>
      </c>
      <c r="C19">
        <f t="shared" ca="1" si="6"/>
        <v>85</v>
      </c>
      <c r="D19">
        <f t="shared" ca="1" si="5"/>
        <v>53</v>
      </c>
      <c r="E19">
        <f t="shared" ca="1" si="5"/>
        <v>45</v>
      </c>
      <c r="F19">
        <f t="shared" ca="1" si="5"/>
        <v>63</v>
      </c>
      <c r="G19">
        <f t="shared" ca="1" si="5"/>
        <v>85</v>
      </c>
      <c r="H19">
        <f t="shared" ca="1" si="0"/>
        <v>331</v>
      </c>
      <c r="I19">
        <f t="shared" ca="1" si="1"/>
        <v>66.2</v>
      </c>
      <c r="J19" t="str">
        <f t="shared" ca="1" si="2"/>
        <v>Pass</v>
      </c>
      <c r="K19">
        <f t="shared" ca="1" si="3"/>
        <v>85</v>
      </c>
      <c r="L19">
        <f t="shared" ca="1" si="4"/>
        <v>45</v>
      </c>
    </row>
    <row r="20" spans="1:12">
      <c r="A20">
        <v>13</v>
      </c>
      <c r="B20" t="s">
        <v>18</v>
      </c>
      <c r="C20">
        <f t="shared" ca="1" si="6"/>
        <v>23</v>
      </c>
      <c r="D20">
        <f t="shared" ca="1" si="5"/>
        <v>62</v>
      </c>
      <c r="E20">
        <f t="shared" ca="1" si="5"/>
        <v>100</v>
      </c>
      <c r="F20">
        <f t="shared" ca="1" si="5"/>
        <v>51</v>
      </c>
      <c r="G20">
        <f t="shared" ca="1" si="5"/>
        <v>92</v>
      </c>
      <c r="H20">
        <f t="shared" ca="1" si="0"/>
        <v>328</v>
      </c>
      <c r="I20">
        <f t="shared" ca="1" si="1"/>
        <v>65.599999999999994</v>
      </c>
      <c r="J20" t="str">
        <f t="shared" ca="1" si="2"/>
        <v>Pass</v>
      </c>
      <c r="K20">
        <f t="shared" ca="1" si="3"/>
        <v>100</v>
      </c>
      <c r="L20">
        <f t="shared" ca="1" si="4"/>
        <v>23</v>
      </c>
    </row>
    <row r="21" spans="1:12">
      <c r="A21">
        <v>14</v>
      </c>
      <c r="B21" t="s">
        <v>11</v>
      </c>
      <c r="C21">
        <f t="shared" ca="1" si="6"/>
        <v>80</v>
      </c>
      <c r="D21">
        <f t="shared" ca="1" si="5"/>
        <v>66</v>
      </c>
      <c r="E21">
        <f t="shared" ca="1" si="5"/>
        <v>65</v>
      </c>
      <c r="F21">
        <f t="shared" ca="1" si="5"/>
        <v>60</v>
      </c>
      <c r="G21">
        <f t="shared" ca="1" si="5"/>
        <v>95</v>
      </c>
      <c r="H21">
        <f t="shared" ca="1" si="0"/>
        <v>366</v>
      </c>
      <c r="I21">
        <f t="shared" ca="1" si="1"/>
        <v>73.2</v>
      </c>
      <c r="J21" t="str">
        <f t="shared" ca="1" si="2"/>
        <v>Pass</v>
      </c>
      <c r="K21">
        <f t="shared" ca="1" si="3"/>
        <v>95</v>
      </c>
      <c r="L21">
        <f t="shared" ca="1" si="4"/>
        <v>60</v>
      </c>
    </row>
    <row r="22" spans="1:12">
      <c r="A22">
        <v>15</v>
      </c>
      <c r="B22" t="s">
        <v>19</v>
      </c>
      <c r="C22">
        <f t="shared" ca="1" si="6"/>
        <v>49</v>
      </c>
      <c r="D22">
        <f t="shared" ca="1" si="5"/>
        <v>4</v>
      </c>
      <c r="E22">
        <f t="shared" ca="1" si="5"/>
        <v>66</v>
      </c>
      <c r="F22">
        <f t="shared" ca="1" si="5"/>
        <v>17</v>
      </c>
      <c r="G22">
        <f t="shared" ca="1" si="5"/>
        <v>36</v>
      </c>
      <c r="H22">
        <f t="shared" ca="1" si="0"/>
        <v>172</v>
      </c>
      <c r="I22">
        <f t="shared" ca="1" si="1"/>
        <v>34.4</v>
      </c>
      <c r="J22" t="str">
        <f t="shared" ca="1" si="2"/>
        <v>Fail</v>
      </c>
      <c r="K22">
        <f t="shared" ca="1" si="3"/>
        <v>66</v>
      </c>
      <c r="L22">
        <f t="shared" ca="1" si="4"/>
        <v>4</v>
      </c>
    </row>
    <row r="23" spans="1:12">
      <c r="A23">
        <v>16</v>
      </c>
      <c r="B23" t="s">
        <v>20</v>
      </c>
      <c r="C23">
        <f t="shared" ca="1" si="6"/>
        <v>31</v>
      </c>
      <c r="D23">
        <f t="shared" ca="1" si="5"/>
        <v>10</v>
      </c>
      <c r="E23">
        <f t="shared" ca="1" si="5"/>
        <v>7</v>
      </c>
      <c r="F23">
        <f t="shared" ca="1" si="5"/>
        <v>14</v>
      </c>
      <c r="G23">
        <f t="shared" ca="1" si="5"/>
        <v>8</v>
      </c>
      <c r="H23">
        <f t="shared" ca="1" si="0"/>
        <v>70</v>
      </c>
      <c r="I23">
        <f t="shared" ca="1" si="1"/>
        <v>14</v>
      </c>
      <c r="J23" t="str">
        <f t="shared" ca="1" si="2"/>
        <v>Fail</v>
      </c>
      <c r="K23">
        <f t="shared" ca="1" si="3"/>
        <v>31</v>
      </c>
      <c r="L23">
        <f t="shared" ca="1" si="4"/>
        <v>7</v>
      </c>
    </row>
    <row r="24" spans="1:12">
      <c r="A24">
        <v>17</v>
      </c>
      <c r="B24" t="s">
        <v>21</v>
      </c>
      <c r="C24">
        <f t="shared" ca="1" si="6"/>
        <v>95</v>
      </c>
      <c r="D24">
        <f t="shared" ca="1" si="5"/>
        <v>56</v>
      </c>
      <c r="E24">
        <f t="shared" ca="1" si="5"/>
        <v>69</v>
      </c>
      <c r="F24">
        <f t="shared" ca="1" si="5"/>
        <v>15</v>
      </c>
      <c r="G24">
        <f t="shared" ca="1" si="5"/>
        <v>6</v>
      </c>
      <c r="H24">
        <f t="shared" ca="1" si="0"/>
        <v>241</v>
      </c>
      <c r="I24">
        <f t="shared" ca="1" si="1"/>
        <v>48.2</v>
      </c>
      <c r="J24" t="str">
        <f t="shared" ca="1" si="2"/>
        <v>Fail</v>
      </c>
      <c r="K24">
        <f t="shared" ca="1" si="3"/>
        <v>95</v>
      </c>
      <c r="L24">
        <f t="shared" ca="1" si="4"/>
        <v>6</v>
      </c>
    </row>
    <row r="25" spans="1:12">
      <c r="A25">
        <v>18</v>
      </c>
      <c r="B25" t="s">
        <v>22</v>
      </c>
      <c r="C25">
        <f t="shared" ca="1" si="6"/>
        <v>95</v>
      </c>
      <c r="D25">
        <f t="shared" ca="1" si="5"/>
        <v>67</v>
      </c>
      <c r="E25">
        <f t="shared" ca="1" si="5"/>
        <v>62</v>
      </c>
      <c r="F25">
        <f t="shared" ca="1" si="5"/>
        <v>36</v>
      </c>
      <c r="G25">
        <f t="shared" ca="1" si="5"/>
        <v>41</v>
      </c>
      <c r="H25">
        <f t="shared" ca="1" si="0"/>
        <v>301</v>
      </c>
      <c r="I25">
        <f t="shared" ca="1" si="1"/>
        <v>60.2</v>
      </c>
      <c r="J25" t="str">
        <f t="shared" ca="1" si="2"/>
        <v>Pass</v>
      </c>
      <c r="K25">
        <f t="shared" ca="1" si="3"/>
        <v>95</v>
      </c>
      <c r="L25">
        <f t="shared" ca="1" si="4"/>
        <v>36</v>
      </c>
    </row>
    <row r="26" spans="1:12">
      <c r="A26">
        <v>19</v>
      </c>
      <c r="B26" t="s">
        <v>9</v>
      </c>
      <c r="C26">
        <f t="shared" ca="1" si="6"/>
        <v>81</v>
      </c>
      <c r="D26">
        <f t="shared" ca="1" si="5"/>
        <v>47</v>
      </c>
      <c r="E26">
        <f t="shared" ca="1" si="5"/>
        <v>83</v>
      </c>
      <c r="F26">
        <f t="shared" ca="1" si="5"/>
        <v>47</v>
      </c>
      <c r="G26">
        <f t="shared" ca="1" si="5"/>
        <v>89</v>
      </c>
      <c r="H26">
        <f t="shared" ca="1" si="0"/>
        <v>347</v>
      </c>
      <c r="I26">
        <f t="shared" ca="1" si="1"/>
        <v>69.400000000000006</v>
      </c>
      <c r="J26" t="str">
        <f t="shared" ca="1" si="2"/>
        <v>Pass</v>
      </c>
      <c r="K26">
        <f t="shared" ca="1" si="3"/>
        <v>89</v>
      </c>
      <c r="L26">
        <f t="shared" ca="1" si="4"/>
        <v>47</v>
      </c>
    </row>
    <row r="27" spans="1:12">
      <c r="A27">
        <v>20</v>
      </c>
      <c r="B27" t="s">
        <v>23</v>
      </c>
      <c r="C27">
        <f t="shared" ca="1" si="6"/>
        <v>11</v>
      </c>
      <c r="D27">
        <f t="shared" ca="1" si="6"/>
        <v>57</v>
      </c>
      <c r="E27">
        <f t="shared" ca="1" si="6"/>
        <v>99</v>
      </c>
      <c r="F27">
        <f t="shared" ca="1" si="6"/>
        <v>32</v>
      </c>
      <c r="G27">
        <f t="shared" ca="1" si="6"/>
        <v>87</v>
      </c>
      <c r="H27">
        <f t="shared" ca="1" si="0"/>
        <v>286</v>
      </c>
      <c r="I27">
        <f t="shared" ca="1" si="1"/>
        <v>57.2</v>
      </c>
      <c r="J27" t="str">
        <f t="shared" ca="1" si="2"/>
        <v>Pass</v>
      </c>
      <c r="K27">
        <f t="shared" ca="1" si="3"/>
        <v>99</v>
      </c>
      <c r="L27">
        <f t="shared" ca="1" si="4"/>
        <v>11</v>
      </c>
    </row>
    <row r="28" spans="1:12">
      <c r="A28">
        <v>21</v>
      </c>
      <c r="B28" t="s">
        <v>24</v>
      </c>
      <c r="C28">
        <f t="shared" ca="1" si="6"/>
        <v>91</v>
      </c>
      <c r="D28">
        <f t="shared" ca="1" si="6"/>
        <v>3</v>
      </c>
      <c r="E28">
        <f t="shared" ca="1" si="6"/>
        <v>64</v>
      </c>
      <c r="F28">
        <f t="shared" ca="1" si="6"/>
        <v>5</v>
      </c>
      <c r="G28">
        <f t="shared" ca="1" si="6"/>
        <v>49</v>
      </c>
      <c r="H28">
        <f t="shared" ca="1" si="0"/>
        <v>212</v>
      </c>
      <c r="I28">
        <f t="shared" ca="1" si="1"/>
        <v>42.4</v>
      </c>
      <c r="J28" t="str">
        <f t="shared" ca="1" si="2"/>
        <v>Fail</v>
      </c>
      <c r="K28">
        <f t="shared" ca="1" si="3"/>
        <v>91</v>
      </c>
      <c r="L28">
        <f t="shared" ca="1" si="4"/>
        <v>3</v>
      </c>
    </row>
    <row r="29" spans="1:12">
      <c r="A29">
        <v>22</v>
      </c>
      <c r="B29" t="s">
        <v>17</v>
      </c>
      <c r="C29">
        <f t="shared" ca="1" si="6"/>
        <v>81</v>
      </c>
      <c r="D29">
        <f t="shared" ca="1" si="6"/>
        <v>15</v>
      </c>
      <c r="E29">
        <f t="shared" ca="1" si="6"/>
        <v>58</v>
      </c>
      <c r="F29">
        <f t="shared" ca="1" si="6"/>
        <v>31</v>
      </c>
      <c r="G29">
        <f t="shared" ca="1" si="6"/>
        <v>84</v>
      </c>
      <c r="H29">
        <f t="shared" ca="1" si="0"/>
        <v>269</v>
      </c>
      <c r="I29">
        <f t="shared" ca="1" si="1"/>
        <v>53.8</v>
      </c>
      <c r="J29" t="str">
        <f t="shared" ca="1" si="2"/>
        <v>Pass</v>
      </c>
      <c r="K29">
        <f t="shared" ca="1" si="3"/>
        <v>84</v>
      </c>
      <c r="L29">
        <f t="shared" ca="1" si="4"/>
        <v>15</v>
      </c>
    </row>
    <row r="30" spans="1:12">
      <c r="A30">
        <v>23</v>
      </c>
      <c r="B30" t="s">
        <v>25</v>
      </c>
      <c r="C30">
        <f t="shared" ca="1" si="6"/>
        <v>95</v>
      </c>
      <c r="D30">
        <f t="shared" ca="1" si="6"/>
        <v>2</v>
      </c>
      <c r="E30">
        <f t="shared" ca="1" si="6"/>
        <v>11</v>
      </c>
      <c r="F30">
        <f t="shared" ca="1" si="6"/>
        <v>89</v>
      </c>
      <c r="G30">
        <f t="shared" ca="1" si="6"/>
        <v>60</v>
      </c>
      <c r="H30">
        <f t="shared" ca="1" si="0"/>
        <v>257</v>
      </c>
      <c r="I30">
        <f t="shared" ca="1" si="1"/>
        <v>51.4</v>
      </c>
      <c r="J30" t="str">
        <f t="shared" ca="1" si="2"/>
        <v>Fail</v>
      </c>
      <c r="K30">
        <f t="shared" ca="1" si="3"/>
        <v>95</v>
      </c>
      <c r="L30">
        <f t="shared" ca="1" si="4"/>
        <v>2</v>
      </c>
    </row>
    <row r="31" spans="1:12">
      <c r="A31">
        <v>24</v>
      </c>
      <c r="B31" t="s">
        <v>26</v>
      </c>
      <c r="C31">
        <f t="shared" ca="1" si="6"/>
        <v>72</v>
      </c>
      <c r="D31">
        <f t="shared" ca="1" si="6"/>
        <v>76</v>
      </c>
      <c r="E31">
        <f t="shared" ca="1" si="6"/>
        <v>26</v>
      </c>
      <c r="F31">
        <f t="shared" ca="1" si="6"/>
        <v>16</v>
      </c>
      <c r="G31">
        <f t="shared" ca="1" si="6"/>
        <v>24</v>
      </c>
      <c r="H31">
        <f t="shared" ca="1" si="0"/>
        <v>214</v>
      </c>
      <c r="I31">
        <f t="shared" ca="1" si="1"/>
        <v>42.8</v>
      </c>
      <c r="J31" t="str">
        <f t="shared" ca="1" si="2"/>
        <v>Fail</v>
      </c>
      <c r="K31">
        <f t="shared" ca="1" si="3"/>
        <v>76</v>
      </c>
      <c r="L31">
        <f t="shared" ca="1" si="4"/>
        <v>16</v>
      </c>
    </row>
    <row r="32" spans="1:12">
      <c r="A32">
        <v>25</v>
      </c>
      <c r="B32" t="s">
        <v>27</v>
      </c>
      <c r="C32">
        <f t="shared" ca="1" si="6"/>
        <v>29</v>
      </c>
      <c r="D32">
        <f t="shared" ca="1" si="6"/>
        <v>3</v>
      </c>
      <c r="E32">
        <f t="shared" ca="1" si="6"/>
        <v>93</v>
      </c>
      <c r="F32">
        <f t="shared" ca="1" si="6"/>
        <v>31</v>
      </c>
      <c r="G32">
        <f t="shared" ca="1" si="6"/>
        <v>11</v>
      </c>
      <c r="H32">
        <f t="shared" ca="1" si="0"/>
        <v>167</v>
      </c>
      <c r="I32">
        <f t="shared" ca="1" si="1"/>
        <v>33.4</v>
      </c>
      <c r="J32" t="str">
        <f t="shared" ca="1" si="2"/>
        <v>Fail</v>
      </c>
      <c r="K32">
        <f t="shared" ca="1" si="3"/>
        <v>93</v>
      </c>
      <c r="L32">
        <f t="shared" ca="1" si="4"/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G13"/>
  <sheetViews>
    <sheetView tabSelected="1" workbookViewId="0">
      <selection activeCell="G17" sqref="G17"/>
    </sheetView>
  </sheetViews>
  <sheetFormatPr defaultRowHeight="13.8"/>
  <cols>
    <col min="1" max="1" width="14.19921875" bestFit="1" customWidth="1"/>
    <col min="2" max="2" width="22.3984375" bestFit="1" customWidth="1"/>
    <col min="3" max="3" width="9" customWidth="1"/>
    <col min="4" max="4" width="12.296875" bestFit="1" customWidth="1"/>
    <col min="5" max="5" width="11.796875" bestFit="1" customWidth="1"/>
    <col min="6" max="6" width="12.09765625" bestFit="1" customWidth="1"/>
    <col min="7" max="7" width="16.59765625" bestFit="1" customWidth="1"/>
  </cols>
  <sheetData>
    <row r="2" spans="1:7">
      <c r="E2" s="1" t="s">
        <v>57</v>
      </c>
      <c r="F2" s="6">
        <v>0.18</v>
      </c>
    </row>
    <row r="3" spans="1:7">
      <c r="A3" s="5" t="s">
        <v>34</v>
      </c>
      <c r="B3" s="5" t="s">
        <v>35</v>
      </c>
      <c r="C3" s="5" t="s">
        <v>36</v>
      </c>
      <c r="D3" s="5" t="s">
        <v>37</v>
      </c>
      <c r="E3" s="5" t="s">
        <v>38</v>
      </c>
      <c r="F3" s="5" t="s">
        <v>39</v>
      </c>
      <c r="G3" s="5" t="s">
        <v>40</v>
      </c>
    </row>
    <row r="4" spans="1:7">
      <c r="A4" t="s">
        <v>41</v>
      </c>
      <c r="B4" t="s">
        <v>49</v>
      </c>
      <c r="C4">
        <v>200</v>
      </c>
      <c r="D4" s="8">
        <v>2</v>
      </c>
      <c r="E4">
        <f>C4*D4</f>
        <v>400</v>
      </c>
      <c r="F4" s="7">
        <f>(Table1[[#This Row],[Amount]]*18)/100</f>
        <v>72</v>
      </c>
      <c r="G4" s="7">
        <f>SUM(Table1[[#This Row],[Amount]:[Gst 18%]])</f>
        <v>472</v>
      </c>
    </row>
    <row r="5" spans="1:7">
      <c r="A5" t="s">
        <v>42</v>
      </c>
      <c r="B5" t="s">
        <v>50</v>
      </c>
      <c r="C5">
        <v>200</v>
      </c>
      <c r="D5" s="8">
        <v>3</v>
      </c>
      <c r="E5">
        <f t="shared" ref="E5:E11" si="0">C5*D5</f>
        <v>600</v>
      </c>
      <c r="F5" s="7">
        <f>(Table1[[#This Row],[Amount]]*18)/100</f>
        <v>108</v>
      </c>
      <c r="G5" s="7">
        <f>SUM(Table1[[#This Row],[Amount]:[Gst 18%]])</f>
        <v>708</v>
      </c>
    </row>
    <row r="6" spans="1:7">
      <c r="A6" t="s">
        <v>43</v>
      </c>
      <c r="B6" t="s">
        <v>51</v>
      </c>
      <c r="C6">
        <v>10000</v>
      </c>
      <c r="D6" s="8">
        <v>5</v>
      </c>
      <c r="E6">
        <f t="shared" si="0"/>
        <v>50000</v>
      </c>
      <c r="F6" s="7">
        <f>(Table1[[#This Row],[Amount]]*18)/100</f>
        <v>9000</v>
      </c>
      <c r="G6" s="7">
        <f>SUM(Table1[[#This Row],[Amount]:[Gst 18%]])</f>
        <v>59000</v>
      </c>
    </row>
    <row r="7" spans="1:7">
      <c r="A7" t="s">
        <v>44</v>
      </c>
      <c r="B7" t="s">
        <v>52</v>
      </c>
      <c r="C7">
        <v>12000</v>
      </c>
      <c r="D7" s="8">
        <v>3</v>
      </c>
      <c r="E7">
        <f t="shared" si="0"/>
        <v>36000</v>
      </c>
      <c r="F7" s="7">
        <f>(Table1[[#This Row],[Amount]]*18)/100</f>
        <v>6480</v>
      </c>
      <c r="G7" s="7">
        <f>SUM(Table1[[#This Row],[Amount]:[Gst 18%]])</f>
        <v>42480</v>
      </c>
    </row>
    <row r="8" spans="1:7">
      <c r="A8" t="s">
        <v>45</v>
      </c>
      <c r="B8" t="s">
        <v>53</v>
      </c>
      <c r="C8">
        <v>800</v>
      </c>
      <c r="D8" s="8">
        <v>3</v>
      </c>
      <c r="E8">
        <f t="shared" si="0"/>
        <v>2400</v>
      </c>
      <c r="F8" s="7">
        <f>(Table1[[#This Row],[Amount]]*18)/100</f>
        <v>432</v>
      </c>
      <c r="G8" s="7">
        <f>SUM(Table1[[#This Row],[Amount]:[Gst 18%]])</f>
        <v>2832</v>
      </c>
    </row>
    <row r="9" spans="1:7">
      <c r="A9" t="s">
        <v>46</v>
      </c>
      <c r="B9" t="s">
        <v>54</v>
      </c>
      <c r="C9">
        <v>30767</v>
      </c>
      <c r="D9" s="8">
        <v>3</v>
      </c>
      <c r="E9">
        <f t="shared" si="0"/>
        <v>92301</v>
      </c>
      <c r="F9" s="7">
        <f>(Table1[[#This Row],[Amount]]*18)/100</f>
        <v>16614.18</v>
      </c>
      <c r="G9" s="7">
        <f>SUM(Table1[[#This Row],[Amount]:[Gst 18%]])</f>
        <v>108915.18</v>
      </c>
    </row>
    <row r="10" spans="1:7">
      <c r="A10" t="s">
        <v>47</v>
      </c>
      <c r="B10" t="s">
        <v>55</v>
      </c>
      <c r="C10">
        <v>45675</v>
      </c>
      <c r="D10" s="8">
        <v>3</v>
      </c>
      <c r="E10">
        <f t="shared" si="0"/>
        <v>137025</v>
      </c>
      <c r="F10" s="7">
        <f>(Table1[[#This Row],[Amount]]*18)/100</f>
        <v>24664.5</v>
      </c>
      <c r="G10" s="7">
        <f>SUM(Table1[[#This Row],[Amount]:[Gst 18%]])</f>
        <v>161689.5</v>
      </c>
    </row>
    <row r="11" spans="1:7">
      <c r="A11" t="s">
        <v>48</v>
      </c>
      <c r="B11" t="s">
        <v>56</v>
      </c>
      <c r="C11">
        <v>23544</v>
      </c>
      <c r="D11" s="8">
        <v>3</v>
      </c>
      <c r="E11">
        <f t="shared" si="0"/>
        <v>70632</v>
      </c>
      <c r="F11" s="7">
        <f>(Table1[[#This Row],[Amount]]*18)/100</f>
        <v>12713.76</v>
      </c>
      <c r="G11" s="7">
        <f>SUM(Table1[[#This Row],[Amount]:[Gst 18%]])</f>
        <v>83345.759999999995</v>
      </c>
    </row>
    <row r="13" spans="1:7">
      <c r="F13" s="1" t="s">
        <v>58</v>
      </c>
      <c r="G13" s="1">
        <f>SUM(Table1[Total Amount])</f>
        <v>459442.44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School marks data</vt:lpstr>
      <vt:lpstr>Bill Entry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Buddhajit Roy</cp:lastModifiedBy>
  <dcterms:created xsi:type="dcterms:W3CDTF">2024-02-19T11:44:19Z</dcterms:created>
  <dcterms:modified xsi:type="dcterms:W3CDTF">2026-02-21T17:57:14Z</dcterms:modified>
</cp:coreProperties>
</file>